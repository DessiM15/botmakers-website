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90-Day Targets" sheetId="2" state="visible" r:id="rId4"/>
    <sheet name="12-Month Targets" sheetId="3" state="visible" r:id="rId5"/>
    <sheet name="Weekly Tracker" sheetId="4" state="visible" r:id="rId6"/>
    <sheet name="Content Output" sheetId="5" state="visible" r:id="rId7"/>
    <sheet name="Engagement Quality" sheetId="6" state="visible" r:id="rId8"/>
    <sheet name="Competitive Benchmark" sheetId="7" state="visible" r:id="rId9"/>
    <sheet name="Earned Media Log" sheetId="8" state="visible" r:id="rId10"/>
    <sheet name="Inbound Lo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<sst xmlns="http://schemas.openxmlformats.org/spreadsheetml/2006/main" count="202" uniqueCount="127">
  <si>
    <t xml:space="preserve">AMERICAN FUSION — KPI DASHBOARDS</t>
  </si>
  <si>
    <t xml:space="preserve">Deliverable 05 of the Day-14 Foundation Package</t>
  </si>
  <si>
    <t xml:space="preserve">Prepared by BotMakers Inc. · Version 1.0</t>
  </si>
  <si>
    <t xml:space="preserve">HOW TO USE THIS WORKBOOK</t>
  </si>
  <si>
    <t xml:space="preserve">Update the BLUE input cells weekly. All calculations and totals update automatically.</t>
  </si>
  <si>
    <t xml:space="preserve">Status against targets recomputes every time you update a follower count.</t>
  </si>
  <si>
    <t xml:space="preserve">TABS</t>
  </si>
  <si>
    <t xml:space="preserve">• 90-Day Targets — the bar you have to clear by Day 90, with current status</t>
  </si>
  <si>
    <t xml:space="preserve">• 12-Month Targets — the bar you have to clear by Month 12</t>
  </si>
  <si>
    <t xml:space="preserve">• Weekly Tracker — week-by-week follower counts across every channel (live)</t>
  </si>
  <si>
    <t xml:space="preserve">• Content Output — pieces published per week vs. plan</t>
  </si>
  <si>
    <t xml:space="preserve">• Engagement Quality — engagement rate, profile views, inbound inquiries</t>
  </si>
  <si>
    <t xml:space="preserve">• Competitive Benchmark — Commonwealth, Helion, TAE, General Fusion, Thea tracking</t>
  </si>
  <si>
    <t xml:space="preserve">• Earned Media Log — every non-IBN media mention</t>
  </si>
  <si>
    <t xml:space="preserve">• Inbound Log — every direct procurement / capital / talent inquiry</t>
  </si>
  <si>
    <t xml:space="preserve">COLOR CONVENTIONS</t>
  </si>
  <si>
    <t xml:space="preserve">Blue cells:    user input — update weekly</t>
  </si>
  <si>
    <t xml:space="preserve">Black text:    formulas — do not overwrite</t>
  </si>
  <si>
    <t xml:space="preserve">Navy headers:  do not edit</t>
  </si>
  <si>
    <t xml:space="preserve">Lime highlights: on-track or ahead of pace</t>
  </si>
  <si>
    <t xml:space="preserve">Yellow highlights: behind pace, needs attention</t>
  </si>
  <si>
    <t xml:space="preserve">KPI</t>
  </si>
  <si>
    <t xml:space="preserve">Day 0</t>
  </si>
  <si>
    <t xml:space="preserve">Current</t>
  </si>
  <si>
    <t xml:space="preserve">Day 90 Target</t>
  </si>
  <si>
    <t xml:space="preserve">% to Target</t>
  </si>
  <si>
    <t xml:space="preserve">LinkedIn company followers</t>
  </si>
  <si>
    <t xml:space="preserve">LinkedIn — Nelson followers</t>
  </si>
  <si>
    <t xml:space="preserve">LinkedIn — Reid followers</t>
  </si>
  <si>
    <t xml:space="preserve">LinkedIn — Hawkins followers</t>
  </si>
  <si>
    <t xml:space="preserve">X / Twitter followers</t>
  </si>
  <si>
    <t xml:space="preserve">YouTube subscribers</t>
  </si>
  <si>
    <t xml:space="preserve">Instagram followers</t>
  </si>
  <si>
    <t xml:space="preserve">Newsletter subscribers</t>
  </si>
  <si>
    <t xml:space="preserve">Total content pieces published</t>
  </si>
  <si>
    <t xml:space="preserve">Earned media mentions (non-IBN)</t>
  </si>
  <si>
    <t xml:space="preserve">Direct inbound inquiries (proc/cap/talent)</t>
  </si>
  <si>
    <t xml:space="preserve">Month 12 Target</t>
  </si>
  <si>
    <t xml:space="preserve">Direct inbound inquiries</t>
  </si>
  <si>
    <t xml:space="preserve">Tier-1 press appearances (Bloomberg / Reuters / WSJ / Axios)</t>
  </si>
  <si>
    <t xml:space="preserve">Week</t>
  </si>
  <si>
    <t xml:space="preserve">Week Of</t>
  </si>
  <si>
    <t xml:space="preserve">LinkedIn Company</t>
  </si>
  <si>
    <t xml:space="preserve">LinkedIn Nelson</t>
  </si>
  <si>
    <t xml:space="preserve">LinkedIn Reid</t>
  </si>
  <si>
    <t xml:space="preserve">LinkedIn Hawkins</t>
  </si>
  <si>
    <t xml:space="preserve">X / Twitter</t>
  </si>
  <si>
    <t xml:space="preserve">YouTube Subs</t>
  </si>
  <si>
    <t xml:space="preserve">Instagram</t>
  </si>
  <si>
    <t xml:space="preserve">Newsletter</t>
  </si>
  <si>
    <t xml:space="preserve">2026-06-15</t>
  </si>
  <si>
    <t xml:space="preserve">2026-06-22</t>
  </si>
  <si>
    <t xml:space="preserve">2026-06-29</t>
  </si>
  <si>
    <t xml:space="preserve">2026-07-06</t>
  </si>
  <si>
    <t xml:space="preserve">2026-07-13</t>
  </si>
  <si>
    <t xml:space="preserve">2026-07-20</t>
  </si>
  <si>
    <t xml:space="preserve">2026-07-27</t>
  </si>
  <si>
    <t xml:space="preserve">2026-08-03</t>
  </si>
  <si>
    <t xml:space="preserve">2026-08-10</t>
  </si>
  <si>
    <t xml:space="preserve">2026-08-17</t>
  </si>
  <si>
    <t xml:space="preserve">2026-08-24</t>
  </si>
  <si>
    <t xml:space="preserve">2026-08-31</t>
  </si>
  <si>
    <t xml:space="preserve">2026-09-07</t>
  </si>
  <si>
    <t xml:space="preserve">2026-09-14</t>
  </si>
  <si>
    <t xml:space="preserve">WoW Δ</t>
  </si>
  <si>
    <t xml:space="preserve">LinkedIn Co</t>
  </si>
  <si>
    <t xml:space="preserve">LinkedIn Exec</t>
  </si>
  <si>
    <t xml:space="preserve">X Posts</t>
  </si>
  <si>
    <t xml:space="preserve">YouTube</t>
  </si>
  <si>
    <t xml:space="preserve">TOTAL</t>
  </si>
  <si>
    <t xml:space="preserve">Plan</t>
  </si>
  <si>
    <t xml:space="preserve">Variance</t>
  </si>
  <si>
    <t xml:space="preserve">LinkedIn Avg Imp.</t>
  </si>
  <si>
    <t xml:space="preserve">LinkedIn Eng. Rate %</t>
  </si>
  <si>
    <t xml:space="preserve">X Avg Imp.</t>
  </si>
  <si>
    <t xml:space="preserve">YouTube Avg Views</t>
  </si>
  <si>
    <t xml:space="preserve">Profile Views (Co.)</t>
  </si>
  <si>
    <t xml:space="preserve">Inbound DMs</t>
  </si>
  <si>
    <t xml:space="preserve">Competitive Benchmark — Track monthly</t>
  </si>
  <si>
    <t xml:space="preserve">Metric</t>
  </si>
  <si>
    <t xml:space="preserve">Snapshot Date</t>
  </si>
  <si>
    <t xml:space="preserve">Commonwealth</t>
  </si>
  <si>
    <t xml:space="preserve">Helion</t>
  </si>
  <si>
    <t xml:space="preserve">TAE</t>
  </si>
  <si>
    <t xml:space="preserve">General Fusion</t>
  </si>
  <si>
    <t xml:space="preserve">Thea</t>
  </si>
  <si>
    <t xml:space="preserve">AMFN</t>
  </si>
  <si>
    <t xml:space="preserve">LinkedIn followers</t>
  </si>
  <si>
    <t xml:space="preserve">2026-05-01</t>
  </si>
  <si>
    <t xml:space="preserve">2026-06-01</t>
  </si>
  <si>
    <t xml:space="preserve">2026-07-01</t>
  </si>
  <si>
    <t xml:space="preserve">2026-08-01</t>
  </si>
  <si>
    <t xml:space="preserve">2026-09-01</t>
  </si>
  <si>
    <t xml:space="preserve">Note: May 2026 LinkedIn baseline figures are from the Market Intelligence Report. Update monthly by visiting each company's LinkedIn page.</t>
  </si>
  <si>
    <t xml:space="preserve">Date</t>
  </si>
  <si>
    <t xml:space="preserve">Outlet</t>
  </si>
  <si>
    <t xml:space="preserve">Tier</t>
  </si>
  <si>
    <t xml:space="preserve">Headline</t>
  </si>
  <si>
    <t xml:space="preserve">URL</t>
  </si>
  <si>
    <t xml:space="preserve">Reach (est.)</t>
  </si>
  <si>
    <t xml:space="preserve">Sentiment</t>
  </si>
  <si>
    <t xml:space="preserve">Spokesperson</t>
  </si>
  <si>
    <t xml:space="preserve">Notes</t>
  </si>
  <si>
    <t xml:space="preserve">2026-06-20</t>
  </si>
  <si>
    <t xml:space="preserve">TechCrunch</t>
  </si>
  <si>
    <t xml:space="preserve">Tier 1</t>
  </si>
  <si>
    <t xml:space="preserve">Example: 'American Fusion: the second-cohort aneutronic play'</t>
  </si>
  <si>
    <t xml:space="preserve">https://...</t>
  </si>
  <si>
    <t xml:space="preserve">Positive</t>
  </si>
  <si>
    <t xml:space="preserve">Brent Nelson</t>
  </si>
  <si>
    <t xml:space="preserve">Pitched by BotMakers via Reid intro</t>
  </si>
  <si>
    <t xml:space="preserve">Source Channel</t>
  </si>
  <si>
    <t xml:space="preserve">Type</t>
  </si>
  <si>
    <t xml:space="preserve">From (name/co)</t>
  </si>
  <si>
    <t xml:space="preserve">Topic</t>
  </si>
  <si>
    <t xml:space="preserve">Status</t>
  </si>
  <si>
    <t xml:space="preserve">Owner</t>
  </si>
  <si>
    <t xml:space="preserve">Next Action</t>
  </si>
  <si>
    <t xml:space="preserve">LinkedIn DM</t>
  </si>
  <si>
    <t xml:space="preserve">Procurement</t>
  </si>
  <si>
    <t xml:space="preserve">Example: DIU Program Mgr</t>
  </si>
  <si>
    <t xml:space="preserve">Texatron capability briefing request</t>
  </si>
  <si>
    <t xml:space="preserve">Open</t>
  </si>
  <si>
    <t xml:space="preserve">Reid</t>
  </si>
  <si>
    <t xml:space="preserve">Schedule intro call</t>
  </si>
  <si>
    <t xml:space="preserve">Routed per workflow Stage 5</t>
  </si>
  <si>
    <t xml:space="preserve">Type categories: Procurement | Capital | Talent | Press | Partnership | Other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</si>
</sst>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General"/>
    <numFmt numFmtId="167" formatCode="0.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A1F44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3"/>
      <color rgb="FF0A1F44"/>
      <name val="Arial"/>
      <family val="0"/>
      <charset val="1"/>
    </font>
    <font>
      <sz val="10"/>
      <name val="Arial"/>
      <family val="0"/>
      <charset val="1"/>
    </font>
    <font>
      <sz val="10"/>
      <name val="Consolas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name val="Cambria"/>
      <family val="0"/>
      <charset val="1"/>
    </font>
    <font>
      <b val="true"/>
      <sz val="10"/>
      <color rgb="FF0A1F44"/>
      <name val="Arial"/>
      <family val="0"/>
      <charset val="1"/>
    </font>
    <font>
      <b val="true"/>
      <sz val="14"/>
      <color rgb="FF0A1F44"/>
      <name val="Arial"/>
      <family val="0"/>
      <charset val="1"/>
    </font>
    <font>
      <i val="true"/>
      <sz val="9"/>
      <color rgb="FF6B7280"/>
      <name val="Arial"/>
      <family val="0"/>
      <charset val="1"/>
    </font>
    <font>
      <i val="true"/>
      <sz val="10"/>
      <color rgb="FF6B72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A1F44"/>
        <bgColor rgb="FF003300"/>
      </patternFill>
    </fill>
    <fill>
      <patternFill patternType="solid">
        <fgColor rgb="FFF7F8F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8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A1F4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1.75" hidden="false" customHeight="tru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9" customFormat="false" ht="21.75" hidden="false" customHeight="tru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4" t="s">
        <v>14</v>
      </c>
    </row>
    <row r="19" customFormat="false" ht="21.75" hidden="false" customHeight="true" outlineLevel="0" collapsed="false">
      <c r="A19" s="3" t="s">
        <v>15</v>
      </c>
    </row>
    <row r="20" customFormat="false" ht="15" hidden="false" customHeight="false" outlineLevel="0" collapsed="false">
      <c r="A20" s="5" t="s">
        <v>16</v>
      </c>
    </row>
    <row r="21" customFormat="false" ht="15" hidden="false" customHeight="false" outlineLevel="0" collapsed="false">
      <c r="A21" s="5" t="s">
        <v>17</v>
      </c>
    </row>
    <row r="22" customFormat="false" ht="15" hidden="false" customHeight="false" outlineLevel="0" collapsed="false">
      <c r="A22" s="5" t="s">
        <v>18</v>
      </c>
    </row>
    <row r="23" customFormat="false" ht="15" hidden="false" customHeight="false" outlineLevel="0" collapsed="false">
      <c r="A23" s="5" t="s">
        <v>19</v>
      </c>
    </row>
    <row r="24" customFormat="false" ht="15" hidden="false" customHeight="false" outlineLevel="0" collapsed="false">
      <c r="A24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</row>
    <row r="2" customFormat="false" ht="15" hidden="false" customHeight="false" outlineLevel="0" collapsed="false">
      <c r="A2" s="7" t="s">
        <v>26</v>
      </c>
      <c r="B2" s="8" t="n">
        <v>0</v>
      </c>
      <c r="C2" s="9" t="n">
        <v>0</v>
      </c>
      <c r="D2" s="8" t="n">
        <v>1000</v>
      </c>
      <c r="E2" s="10" t="n">
        <f aca="false">IFERROR((C2-B2)/(D2-B2),0)</f>
        <v>0</v>
      </c>
    </row>
    <row r="3" customFormat="false" ht="15" hidden="false" customHeight="false" outlineLevel="0" collapsed="false">
      <c r="A3" s="11" t="s">
        <v>27</v>
      </c>
      <c r="B3" s="12" t="n">
        <v>0</v>
      </c>
      <c r="C3" s="13" t="n">
        <v>0</v>
      </c>
      <c r="D3" s="12" t="n">
        <v>1200</v>
      </c>
      <c r="E3" s="14" t="n">
        <f aca="false">IFERROR((C3-B3)/(D3-B3),0)</f>
        <v>0</v>
      </c>
    </row>
    <row r="4" customFormat="false" ht="15" hidden="false" customHeight="false" outlineLevel="0" collapsed="false">
      <c r="A4" s="7" t="s">
        <v>28</v>
      </c>
      <c r="B4" s="8" t="n">
        <v>0</v>
      </c>
      <c r="C4" s="9" t="n">
        <v>0</v>
      </c>
      <c r="D4" s="8" t="n">
        <v>900</v>
      </c>
      <c r="E4" s="10" t="n">
        <f aca="false">IFERROR((C4-B4)/(D4-B4),0)</f>
        <v>0</v>
      </c>
    </row>
    <row r="5" customFormat="false" ht="15" hidden="false" customHeight="false" outlineLevel="0" collapsed="false">
      <c r="A5" s="11" t="s">
        <v>29</v>
      </c>
      <c r="B5" s="12" t="n">
        <v>0</v>
      </c>
      <c r="C5" s="13" t="n">
        <v>0</v>
      </c>
      <c r="D5" s="12" t="n">
        <v>600</v>
      </c>
      <c r="E5" s="14" t="n">
        <f aca="false">IFERROR((C5-B5)/(D5-B5),0)</f>
        <v>0</v>
      </c>
    </row>
    <row r="6" customFormat="false" ht="15" hidden="false" customHeight="false" outlineLevel="0" collapsed="false">
      <c r="A6" s="7" t="s">
        <v>30</v>
      </c>
      <c r="B6" s="8" t="n">
        <v>0</v>
      </c>
      <c r="C6" s="9" t="n">
        <v>0</v>
      </c>
      <c r="D6" s="8" t="n">
        <v>650</v>
      </c>
      <c r="E6" s="10" t="n">
        <f aca="false">IFERROR((C6-B6)/(D6-B6),0)</f>
        <v>0</v>
      </c>
    </row>
    <row r="7" customFormat="false" ht="15" hidden="false" customHeight="false" outlineLevel="0" collapsed="false">
      <c r="A7" s="11" t="s">
        <v>31</v>
      </c>
      <c r="B7" s="12" t="n">
        <v>0</v>
      </c>
      <c r="C7" s="13" t="n">
        <v>0</v>
      </c>
      <c r="D7" s="12" t="n">
        <v>225</v>
      </c>
      <c r="E7" s="14" t="n">
        <f aca="false">IFERROR((C7-B7)/(D7-B7),0)</f>
        <v>0</v>
      </c>
    </row>
    <row r="8" customFormat="false" ht="15" hidden="false" customHeight="false" outlineLevel="0" collapsed="false">
      <c r="A8" s="7" t="s">
        <v>32</v>
      </c>
      <c r="B8" s="8" t="n">
        <v>0</v>
      </c>
      <c r="C8" s="9" t="n">
        <v>0</v>
      </c>
      <c r="D8" s="8" t="n">
        <v>400</v>
      </c>
      <c r="E8" s="10" t="n">
        <f aca="false">IFERROR((C8-B8)/(D8-B8),0)</f>
        <v>0</v>
      </c>
    </row>
    <row r="9" customFormat="false" ht="15" hidden="false" customHeight="false" outlineLevel="0" collapsed="false">
      <c r="A9" s="11" t="s">
        <v>33</v>
      </c>
      <c r="B9" s="12" t="n">
        <v>0</v>
      </c>
      <c r="C9" s="13" t="n">
        <v>0</v>
      </c>
      <c r="D9" s="12" t="n">
        <v>325</v>
      </c>
      <c r="E9" s="14" t="n">
        <f aca="false">IFERROR((C9-B9)/(D9-B9),0)</f>
        <v>0</v>
      </c>
    </row>
    <row r="10" customFormat="false" ht="15" hidden="false" customHeight="false" outlineLevel="0" collapsed="false">
      <c r="A10" s="7" t="s">
        <v>34</v>
      </c>
      <c r="B10" s="8" t="n">
        <v>0</v>
      </c>
      <c r="C10" s="9" t="n">
        <v>0</v>
      </c>
      <c r="D10" s="8" t="n">
        <v>200</v>
      </c>
      <c r="E10" s="10" t="n">
        <f aca="false">IFERROR((C10-B10)/(D10-B10),0)</f>
        <v>0</v>
      </c>
    </row>
    <row r="11" customFormat="false" ht="15" hidden="false" customHeight="false" outlineLevel="0" collapsed="false">
      <c r="A11" s="11" t="s">
        <v>35</v>
      </c>
      <c r="B11" s="12" t="n">
        <v>0</v>
      </c>
      <c r="C11" s="13" t="n">
        <v>0</v>
      </c>
      <c r="D11" s="12" t="n">
        <v>3</v>
      </c>
      <c r="E11" s="14" t="n">
        <f aca="false">IFERROR((C11-B11)/(D11-B11),0)</f>
        <v>0</v>
      </c>
    </row>
    <row r="12" customFormat="false" ht="15" hidden="false" customHeight="false" outlineLevel="0" collapsed="false">
      <c r="A12" s="7" t="s">
        <v>36</v>
      </c>
      <c r="B12" s="8" t="n">
        <v>0</v>
      </c>
      <c r="C12" s="9" t="n">
        <v>0</v>
      </c>
      <c r="D12" s="8" t="n">
        <v>12</v>
      </c>
      <c r="E12" s="10" t="n">
        <f aca="false">IFERROR((C12-B12)/(D12-B12),0)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6" t="s">
        <v>21</v>
      </c>
      <c r="B1" s="6" t="s">
        <v>22</v>
      </c>
      <c r="C1" s="6" t="s">
        <v>23</v>
      </c>
      <c r="D1" s="6" t="s">
        <v>37</v>
      </c>
      <c r="E1" s="6" t="s">
        <v>25</v>
      </c>
    </row>
    <row r="2" customFormat="false" ht="15" hidden="false" customHeight="false" outlineLevel="0" collapsed="false">
      <c r="A2" s="7" t="s">
        <v>26</v>
      </c>
      <c r="B2" s="8" t="n">
        <v>0</v>
      </c>
      <c r="C2" s="9" t="n">
        <v>0</v>
      </c>
      <c r="D2" s="8" t="n">
        <v>6000</v>
      </c>
      <c r="E2" s="10" t="n">
        <f aca="false">IFERROR((C2-B2)/(D2-B2),0)</f>
        <v>0</v>
      </c>
    </row>
    <row r="3" customFormat="false" ht="15" hidden="false" customHeight="false" outlineLevel="0" collapsed="false">
      <c r="A3" s="11" t="s">
        <v>27</v>
      </c>
      <c r="B3" s="12" t="n">
        <v>0</v>
      </c>
      <c r="C3" s="13" t="n">
        <v>0</v>
      </c>
      <c r="D3" s="12" t="n">
        <v>5500</v>
      </c>
      <c r="E3" s="14" t="n">
        <f aca="false">IFERROR((C3-B3)/(D3-B3),0)</f>
        <v>0</v>
      </c>
    </row>
    <row r="4" customFormat="false" ht="15" hidden="false" customHeight="false" outlineLevel="0" collapsed="false">
      <c r="A4" s="7" t="s">
        <v>28</v>
      </c>
      <c r="B4" s="8" t="n">
        <v>0</v>
      </c>
      <c r="C4" s="9" t="n">
        <v>0</v>
      </c>
      <c r="D4" s="8" t="n">
        <v>4000</v>
      </c>
      <c r="E4" s="10" t="n">
        <f aca="false">IFERROR((C4-B4)/(D4-B4),0)</f>
        <v>0</v>
      </c>
    </row>
    <row r="5" customFormat="false" ht="15" hidden="false" customHeight="false" outlineLevel="0" collapsed="false">
      <c r="A5" s="11" t="s">
        <v>29</v>
      </c>
      <c r="B5" s="12" t="n">
        <v>0</v>
      </c>
      <c r="C5" s="13" t="n">
        <v>0</v>
      </c>
      <c r="D5" s="12" t="n">
        <v>2500</v>
      </c>
      <c r="E5" s="14" t="n">
        <f aca="false">IFERROR((C5-B5)/(D5-B5),0)</f>
        <v>0</v>
      </c>
    </row>
    <row r="6" customFormat="false" ht="15" hidden="false" customHeight="false" outlineLevel="0" collapsed="false">
      <c r="A6" s="7" t="s">
        <v>30</v>
      </c>
      <c r="B6" s="8" t="n">
        <v>0</v>
      </c>
      <c r="C6" s="9" t="n">
        <v>0</v>
      </c>
      <c r="D6" s="8" t="n">
        <v>4500</v>
      </c>
      <c r="E6" s="10" t="n">
        <f aca="false">IFERROR((C6-B6)/(D6-B6),0)</f>
        <v>0</v>
      </c>
    </row>
    <row r="7" customFormat="false" ht="15" hidden="false" customHeight="false" outlineLevel="0" collapsed="false">
      <c r="A7" s="11" t="s">
        <v>31</v>
      </c>
      <c r="B7" s="12" t="n">
        <v>0</v>
      </c>
      <c r="C7" s="13" t="n">
        <v>0</v>
      </c>
      <c r="D7" s="12" t="n">
        <v>2000</v>
      </c>
      <c r="E7" s="14" t="n">
        <f aca="false">IFERROR((C7-B7)/(D7-B7),0)</f>
        <v>0</v>
      </c>
    </row>
    <row r="8" customFormat="false" ht="15" hidden="false" customHeight="false" outlineLevel="0" collapsed="false">
      <c r="A8" s="7" t="s">
        <v>32</v>
      </c>
      <c r="B8" s="8" t="n">
        <v>0</v>
      </c>
      <c r="C8" s="9" t="n">
        <v>0</v>
      </c>
      <c r="D8" s="8" t="n">
        <v>3000</v>
      </c>
      <c r="E8" s="10" t="n">
        <f aca="false">IFERROR((C8-B8)/(D8-B8),0)</f>
        <v>0</v>
      </c>
    </row>
    <row r="9" customFormat="false" ht="15" hidden="false" customHeight="false" outlineLevel="0" collapsed="false">
      <c r="A9" s="11" t="s">
        <v>33</v>
      </c>
      <c r="B9" s="12" t="n">
        <v>0</v>
      </c>
      <c r="C9" s="13" t="n">
        <v>0</v>
      </c>
      <c r="D9" s="12" t="n">
        <v>2200</v>
      </c>
      <c r="E9" s="14" t="n">
        <f aca="false">IFERROR((C9-B9)/(D9-B9),0)</f>
        <v>0</v>
      </c>
    </row>
    <row r="10" customFormat="false" ht="15" hidden="false" customHeight="false" outlineLevel="0" collapsed="false">
      <c r="A10" s="7" t="s">
        <v>34</v>
      </c>
      <c r="B10" s="8" t="n">
        <v>0</v>
      </c>
      <c r="C10" s="9" t="n">
        <v>0</v>
      </c>
      <c r="D10" s="8" t="n">
        <v>800</v>
      </c>
      <c r="E10" s="10" t="n">
        <f aca="false">IFERROR((C10-B10)/(D10-B10),0)</f>
        <v>0</v>
      </c>
    </row>
    <row r="11" customFormat="false" ht="15" hidden="false" customHeight="false" outlineLevel="0" collapsed="false">
      <c r="A11" s="11" t="s">
        <v>35</v>
      </c>
      <c r="B11" s="12" t="n">
        <v>0</v>
      </c>
      <c r="C11" s="13" t="n">
        <v>0</v>
      </c>
      <c r="D11" s="12" t="n">
        <v>15</v>
      </c>
      <c r="E11" s="14" t="n">
        <f aca="false">IFERROR((C11-B11)/(D11-B11),0)</f>
        <v>0</v>
      </c>
    </row>
    <row r="12" customFormat="false" ht="15" hidden="false" customHeight="false" outlineLevel="0" collapsed="false">
      <c r="A12" s="7" t="s">
        <v>38</v>
      </c>
      <c r="B12" s="8" t="n">
        <v>0</v>
      </c>
      <c r="C12" s="9" t="n">
        <v>0</v>
      </c>
      <c r="D12" s="8" t="n">
        <v>120</v>
      </c>
      <c r="E12" s="10" t="n">
        <f aca="false">IFERROR((C12-B12)/(D12-B12),0)</f>
        <v>0</v>
      </c>
    </row>
    <row r="13" customFormat="false" ht="15" hidden="false" customHeight="false" outlineLevel="0" collapsed="false">
      <c r="A13" s="11" t="s">
        <v>39</v>
      </c>
      <c r="B13" s="12" t="n">
        <v>0</v>
      </c>
      <c r="C13" s="13" t="n">
        <v>0</v>
      </c>
      <c r="D13" s="12" t="n">
        <v>2</v>
      </c>
      <c r="E13" s="14" t="n">
        <f aca="false">IFERROR((C13-B13)/(D13-B13),0)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10" min="3" style="0" width="17"/>
  </cols>
  <sheetData>
    <row r="1" customFormat="false" ht="36" hidden="false" customHeight="true" outlineLevel="0" collapsed="false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48</v>
      </c>
      <c r="J1" s="6" t="s">
        <v>49</v>
      </c>
    </row>
    <row r="2" customFormat="false" ht="15" hidden="false" customHeight="false" outlineLevel="0" collapsed="false">
      <c r="A2" s="15" t="n">
        <v>1</v>
      </c>
      <c r="B2" s="4" t="s">
        <v>50</v>
      </c>
      <c r="C2" s="13" t="n">
        <v>0</v>
      </c>
      <c r="D2" s="13" t="n">
        <v>0</v>
      </c>
      <c r="E2" s="13" t="n">
        <v>0</v>
      </c>
      <c r="F2" s="13" t="n">
        <v>0</v>
      </c>
      <c r="G2" s="13" t="n">
        <v>0</v>
      </c>
      <c r="H2" s="13" t="n">
        <v>0</v>
      </c>
      <c r="I2" s="13" t="n">
        <v>0</v>
      </c>
      <c r="J2" s="13" t="n">
        <v>0</v>
      </c>
    </row>
    <row r="3" customFormat="false" ht="15" hidden="false" customHeight="false" outlineLevel="0" collapsed="false">
      <c r="A3" s="16" t="n">
        <v>2</v>
      </c>
      <c r="B3" s="17" t="s">
        <v>51</v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</row>
    <row r="4" customFormat="false" ht="15" hidden="false" customHeight="false" outlineLevel="0" collapsed="false">
      <c r="A4" s="15" t="n">
        <v>3</v>
      </c>
      <c r="B4" s="4" t="s">
        <v>52</v>
      </c>
      <c r="C4" s="13" t="n">
        <v>0</v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  <c r="I4" s="13" t="n">
        <v>0</v>
      </c>
      <c r="J4" s="13" t="n">
        <v>0</v>
      </c>
    </row>
    <row r="5" customFormat="false" ht="15" hidden="false" customHeight="false" outlineLevel="0" collapsed="false">
      <c r="A5" s="16" t="n">
        <v>4</v>
      </c>
      <c r="B5" s="17" t="s">
        <v>53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</row>
    <row r="6" customFormat="false" ht="15" hidden="false" customHeight="false" outlineLevel="0" collapsed="false">
      <c r="A6" s="15" t="n">
        <v>5</v>
      </c>
      <c r="B6" s="4" t="s">
        <v>54</v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</row>
    <row r="7" customFormat="false" ht="15" hidden="false" customHeight="false" outlineLevel="0" collapsed="false">
      <c r="A7" s="16" t="n">
        <v>6</v>
      </c>
      <c r="B7" s="17" t="s">
        <v>55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</row>
    <row r="8" customFormat="false" ht="15" hidden="false" customHeight="false" outlineLevel="0" collapsed="false">
      <c r="A8" s="15" t="n">
        <v>7</v>
      </c>
      <c r="B8" s="4" t="s">
        <v>56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</row>
    <row r="9" customFormat="false" ht="15" hidden="false" customHeight="false" outlineLevel="0" collapsed="false">
      <c r="A9" s="16" t="n">
        <v>8</v>
      </c>
      <c r="B9" s="17" t="s">
        <v>57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</row>
    <row r="10" customFormat="false" ht="15" hidden="false" customHeight="false" outlineLevel="0" collapsed="false">
      <c r="A10" s="15" t="n">
        <v>9</v>
      </c>
      <c r="B10" s="4" t="s">
        <v>58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</row>
    <row r="11" customFormat="false" ht="15" hidden="false" customHeight="false" outlineLevel="0" collapsed="false">
      <c r="A11" s="16" t="n">
        <v>10</v>
      </c>
      <c r="B11" s="17" t="s">
        <v>59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</row>
    <row r="12" customFormat="false" ht="15" hidden="false" customHeight="false" outlineLevel="0" collapsed="false">
      <c r="A12" s="15" t="n">
        <v>11</v>
      </c>
      <c r="B12" s="4" t="s">
        <v>60</v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</row>
    <row r="13" customFormat="false" ht="15" hidden="false" customHeight="false" outlineLevel="0" collapsed="false">
      <c r="A13" s="16" t="n">
        <v>12</v>
      </c>
      <c r="B13" s="17" t="s">
        <v>61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</row>
    <row r="14" customFormat="false" ht="15" hidden="false" customHeight="false" outlineLevel="0" collapsed="false">
      <c r="A14" s="15" t="n">
        <v>13</v>
      </c>
      <c r="B14" s="4" t="s">
        <v>62</v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</row>
    <row r="15" customFormat="false" ht="15" hidden="false" customHeight="false" outlineLevel="0" collapsed="false">
      <c r="A15" s="16" t="n">
        <v>14</v>
      </c>
      <c r="B15" s="17" t="s">
        <v>63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</row>
    <row r="17" customFormat="false" ht="15" hidden="false" customHeight="false" outlineLevel="0" collapsed="false">
      <c r="A17" s="18"/>
    </row>
    <row r="18" customFormat="false" ht="15" hidden="false" customHeight="false" outlineLevel="0" collapsed="false">
      <c r="A18" s="19" t="s">
        <v>64</v>
      </c>
      <c r="C18" s="12" t="n">
        <f aca="false">IFERROR((C15-C2),0)</f>
        <v>0</v>
      </c>
      <c r="D18" s="12" t="n">
        <f aca="false">IFERROR((D15-D2),0)</f>
        <v>0</v>
      </c>
      <c r="E18" s="12" t="n">
        <f aca="false">IFERROR((E15-E2),0)</f>
        <v>0</v>
      </c>
      <c r="F18" s="12" t="n">
        <f aca="false">IFERROR((F15-F2),0)</f>
        <v>0</v>
      </c>
      <c r="G18" s="12" t="n">
        <f aca="false">IFERROR((G15-G2),0)</f>
        <v>0</v>
      </c>
      <c r="H18" s="12" t="n">
        <f aca="false">IFERROR((H15-H2),0)</f>
        <v>0</v>
      </c>
      <c r="I18" s="12" t="n">
        <f aca="false">IFERROR((I15-I2),0)</f>
        <v>0</v>
      </c>
      <c r="J18" s="12" t="n">
        <f aca="false">IFERROR((J15-J2),0)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1" min="2" style="0" width="14"/>
  </cols>
  <sheetData>
    <row r="1" customFormat="false" ht="36" hidden="false" customHeight="true" outlineLevel="0" collapsed="false">
      <c r="A1" s="6" t="s">
        <v>40</v>
      </c>
      <c r="B1" s="6" t="s">
        <v>41</v>
      </c>
      <c r="C1" s="6" t="s">
        <v>65</v>
      </c>
      <c r="D1" s="6" t="s">
        <v>66</v>
      </c>
      <c r="E1" s="6" t="s">
        <v>67</v>
      </c>
      <c r="F1" s="6" t="s">
        <v>48</v>
      </c>
      <c r="G1" s="6" t="s">
        <v>68</v>
      </c>
      <c r="H1" s="6" t="s">
        <v>49</v>
      </c>
      <c r="I1" s="6" t="s">
        <v>69</v>
      </c>
      <c r="J1" s="6" t="s">
        <v>70</v>
      </c>
      <c r="K1" s="6" t="s">
        <v>71</v>
      </c>
    </row>
    <row r="2" customFormat="false" ht="15" hidden="false" customHeight="false" outlineLevel="0" collapsed="false">
      <c r="A2" s="15" t="n">
        <v>1</v>
      </c>
      <c r="B2" s="4" t="s">
        <v>50</v>
      </c>
      <c r="C2" s="13" t="n">
        <v>0</v>
      </c>
      <c r="D2" s="13" t="n">
        <v>0</v>
      </c>
      <c r="E2" s="13" t="n">
        <v>0</v>
      </c>
      <c r="F2" s="13" t="n">
        <v>0</v>
      </c>
      <c r="G2" s="13" t="n">
        <v>0</v>
      </c>
      <c r="H2" s="13" t="n">
        <v>0</v>
      </c>
      <c r="I2" s="20" t="n">
        <f aca="false">SUM(C2:H2)</f>
        <v>0</v>
      </c>
      <c r="J2" s="12" t="n">
        <v>27</v>
      </c>
      <c r="K2" s="12" t="n">
        <f aca="false">I2-J2</f>
        <v>-27</v>
      </c>
    </row>
    <row r="3" customFormat="false" ht="15" hidden="false" customHeight="false" outlineLevel="0" collapsed="false">
      <c r="A3" s="16" t="n">
        <v>2</v>
      </c>
      <c r="B3" s="17" t="s">
        <v>51</v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21" t="n">
        <f aca="false">SUM(C3:H3)</f>
        <v>0</v>
      </c>
      <c r="J3" s="8" t="n">
        <v>27</v>
      </c>
      <c r="K3" s="8" t="n">
        <f aca="false">I3-J3</f>
        <v>-27</v>
      </c>
    </row>
    <row r="4" customFormat="false" ht="15" hidden="false" customHeight="false" outlineLevel="0" collapsed="false">
      <c r="A4" s="15" t="n">
        <v>3</v>
      </c>
      <c r="B4" s="4" t="s">
        <v>52</v>
      </c>
      <c r="C4" s="13" t="n">
        <v>0</v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  <c r="I4" s="20" t="n">
        <f aca="false">SUM(C4:H4)</f>
        <v>0</v>
      </c>
      <c r="J4" s="12" t="n">
        <v>27</v>
      </c>
      <c r="K4" s="12" t="n">
        <f aca="false">I4-J4</f>
        <v>-27</v>
      </c>
    </row>
    <row r="5" customFormat="false" ht="15" hidden="false" customHeight="false" outlineLevel="0" collapsed="false">
      <c r="A5" s="16" t="n">
        <v>4</v>
      </c>
      <c r="B5" s="17" t="s">
        <v>53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21" t="n">
        <f aca="false">SUM(C5:H5)</f>
        <v>0</v>
      </c>
      <c r="J5" s="8" t="n">
        <v>27</v>
      </c>
      <c r="K5" s="8" t="n">
        <f aca="false">I5-J5</f>
        <v>-27</v>
      </c>
    </row>
    <row r="6" customFormat="false" ht="15" hidden="false" customHeight="false" outlineLevel="0" collapsed="false">
      <c r="A6" s="15" t="n">
        <v>5</v>
      </c>
      <c r="B6" s="4" t="s">
        <v>54</v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20" t="n">
        <f aca="false">SUM(C6:H6)</f>
        <v>0</v>
      </c>
      <c r="J6" s="12" t="n">
        <v>27</v>
      </c>
      <c r="K6" s="12" t="n">
        <f aca="false">I6-J6</f>
        <v>-27</v>
      </c>
    </row>
    <row r="7" customFormat="false" ht="15" hidden="false" customHeight="false" outlineLevel="0" collapsed="false">
      <c r="A7" s="16" t="n">
        <v>6</v>
      </c>
      <c r="B7" s="17" t="s">
        <v>55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21" t="n">
        <f aca="false">SUM(C7:H7)</f>
        <v>0</v>
      </c>
      <c r="J7" s="8" t="n">
        <v>27</v>
      </c>
      <c r="K7" s="8" t="n">
        <f aca="false">I7-J7</f>
        <v>-27</v>
      </c>
    </row>
    <row r="8" customFormat="false" ht="15" hidden="false" customHeight="false" outlineLevel="0" collapsed="false">
      <c r="A8" s="15" t="n">
        <v>7</v>
      </c>
      <c r="B8" s="4" t="s">
        <v>56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20" t="n">
        <f aca="false">SUM(C8:H8)</f>
        <v>0</v>
      </c>
      <c r="J8" s="12" t="n">
        <v>27</v>
      </c>
      <c r="K8" s="12" t="n">
        <f aca="false">I8-J8</f>
        <v>-27</v>
      </c>
    </row>
    <row r="9" customFormat="false" ht="15" hidden="false" customHeight="false" outlineLevel="0" collapsed="false">
      <c r="A9" s="16" t="n">
        <v>8</v>
      </c>
      <c r="B9" s="17" t="s">
        <v>57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21" t="n">
        <f aca="false">SUM(C9:H9)</f>
        <v>0</v>
      </c>
      <c r="J9" s="8" t="n">
        <v>27</v>
      </c>
      <c r="K9" s="8" t="n">
        <f aca="false">I9-J9</f>
        <v>-27</v>
      </c>
    </row>
    <row r="10" customFormat="false" ht="15" hidden="false" customHeight="false" outlineLevel="0" collapsed="false">
      <c r="A10" s="15" t="n">
        <v>9</v>
      </c>
      <c r="B10" s="4" t="s">
        <v>58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20" t="n">
        <f aca="false">SUM(C10:H10)</f>
        <v>0</v>
      </c>
      <c r="J10" s="12" t="n">
        <v>27</v>
      </c>
      <c r="K10" s="12" t="n">
        <f aca="false">I10-J10</f>
        <v>-27</v>
      </c>
    </row>
    <row r="11" customFormat="false" ht="15" hidden="false" customHeight="false" outlineLevel="0" collapsed="false">
      <c r="A11" s="16" t="n">
        <v>10</v>
      </c>
      <c r="B11" s="17" t="s">
        <v>59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21" t="n">
        <f aca="false">SUM(C11:H11)</f>
        <v>0</v>
      </c>
      <c r="J11" s="8" t="n">
        <v>27</v>
      </c>
      <c r="K11" s="8" t="n">
        <f aca="false">I11-J11</f>
        <v>-27</v>
      </c>
    </row>
    <row r="12" customFormat="false" ht="15" hidden="false" customHeight="false" outlineLevel="0" collapsed="false">
      <c r="A12" s="15" t="n">
        <v>11</v>
      </c>
      <c r="B12" s="4" t="s">
        <v>60</v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20" t="n">
        <f aca="false">SUM(C12:H12)</f>
        <v>0</v>
      </c>
      <c r="J12" s="12" t="n">
        <v>27</v>
      </c>
      <c r="K12" s="12" t="n">
        <f aca="false">I12-J12</f>
        <v>-27</v>
      </c>
    </row>
    <row r="13" customFormat="false" ht="15" hidden="false" customHeight="false" outlineLevel="0" collapsed="false">
      <c r="A13" s="16" t="n">
        <v>12</v>
      </c>
      <c r="B13" s="17" t="s">
        <v>61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21" t="n">
        <f aca="false">SUM(C13:H13)</f>
        <v>0</v>
      </c>
      <c r="J13" s="8" t="n">
        <v>27</v>
      </c>
      <c r="K13" s="8" t="n">
        <f aca="false">I13-J13</f>
        <v>-27</v>
      </c>
    </row>
    <row r="14" customFormat="false" ht="15" hidden="false" customHeight="false" outlineLevel="0" collapsed="false">
      <c r="A14" s="15" t="n">
        <v>13</v>
      </c>
      <c r="B14" s="4" t="s">
        <v>62</v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20" t="n">
        <f aca="false">SUM(C14:H14)</f>
        <v>0</v>
      </c>
      <c r="J14" s="12" t="n">
        <v>27</v>
      </c>
      <c r="K14" s="12" t="n">
        <f aca="false">I14-J14</f>
        <v>-27</v>
      </c>
    </row>
    <row r="15" customFormat="false" ht="15" hidden="false" customHeight="false" outlineLevel="0" collapsed="false">
      <c r="A15" s="16" t="n">
        <v>14</v>
      </c>
      <c r="B15" s="17" t="s">
        <v>63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21" t="n">
        <f aca="false">SUM(C15:H15)</f>
        <v>0</v>
      </c>
      <c r="J15" s="8" t="n">
        <v>27</v>
      </c>
      <c r="K15" s="8" t="n">
        <f aca="false">I15-J15</f>
        <v>-27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8" min="3" style="0" width="19"/>
  </cols>
  <sheetData>
    <row r="1" customFormat="false" ht="36" hidden="false" customHeight="true" outlineLevel="0" collapsed="false">
      <c r="A1" s="6" t="s">
        <v>40</v>
      </c>
      <c r="B1" s="6" t="s">
        <v>41</v>
      </c>
      <c r="C1" s="6" t="s">
        <v>72</v>
      </c>
      <c r="D1" s="6" t="s">
        <v>73</v>
      </c>
      <c r="E1" s="6" t="s">
        <v>74</v>
      </c>
      <c r="F1" s="6" t="s">
        <v>75</v>
      </c>
      <c r="G1" s="6" t="s">
        <v>76</v>
      </c>
      <c r="H1" s="6" t="s">
        <v>77</v>
      </c>
    </row>
    <row r="2" customFormat="false" ht="15" hidden="false" customHeight="false" outlineLevel="0" collapsed="false">
      <c r="A2" s="15" t="n">
        <v>1</v>
      </c>
      <c r="B2" s="4" t="s">
        <v>50</v>
      </c>
      <c r="C2" s="13" t="n">
        <v>0</v>
      </c>
      <c r="D2" s="22" t="n">
        <v>0</v>
      </c>
      <c r="E2" s="13" t="n">
        <v>0</v>
      </c>
      <c r="F2" s="13" t="n">
        <v>0</v>
      </c>
      <c r="G2" s="13" t="n">
        <v>0</v>
      </c>
      <c r="H2" s="13" t="n">
        <v>0</v>
      </c>
    </row>
    <row r="3" customFormat="false" ht="15" hidden="false" customHeight="false" outlineLevel="0" collapsed="false">
      <c r="A3" s="16" t="n">
        <v>2</v>
      </c>
      <c r="B3" s="17" t="s">
        <v>51</v>
      </c>
      <c r="C3" s="9" t="n">
        <v>0</v>
      </c>
      <c r="D3" s="23" t="n">
        <v>0</v>
      </c>
      <c r="E3" s="9" t="n">
        <v>0</v>
      </c>
      <c r="F3" s="9" t="n">
        <v>0</v>
      </c>
      <c r="G3" s="9" t="n">
        <v>0</v>
      </c>
      <c r="H3" s="9" t="n">
        <v>0</v>
      </c>
    </row>
    <row r="4" customFormat="false" ht="15" hidden="false" customHeight="false" outlineLevel="0" collapsed="false">
      <c r="A4" s="15" t="n">
        <v>3</v>
      </c>
      <c r="B4" s="4" t="s">
        <v>52</v>
      </c>
      <c r="C4" s="13" t="n">
        <v>0</v>
      </c>
      <c r="D4" s="22" t="n">
        <v>0</v>
      </c>
      <c r="E4" s="13" t="n">
        <v>0</v>
      </c>
      <c r="F4" s="13" t="n">
        <v>0</v>
      </c>
      <c r="G4" s="13" t="n">
        <v>0</v>
      </c>
      <c r="H4" s="13" t="n">
        <v>0</v>
      </c>
    </row>
    <row r="5" customFormat="false" ht="15" hidden="false" customHeight="false" outlineLevel="0" collapsed="false">
      <c r="A5" s="16" t="n">
        <v>4</v>
      </c>
      <c r="B5" s="17" t="s">
        <v>53</v>
      </c>
      <c r="C5" s="9" t="n">
        <v>0</v>
      </c>
      <c r="D5" s="23" t="n">
        <v>0</v>
      </c>
      <c r="E5" s="9" t="n">
        <v>0</v>
      </c>
      <c r="F5" s="9" t="n">
        <v>0</v>
      </c>
      <c r="G5" s="9" t="n">
        <v>0</v>
      </c>
      <c r="H5" s="9" t="n">
        <v>0</v>
      </c>
    </row>
    <row r="6" customFormat="false" ht="15" hidden="false" customHeight="false" outlineLevel="0" collapsed="false">
      <c r="A6" s="15" t="n">
        <v>5</v>
      </c>
      <c r="B6" s="4" t="s">
        <v>54</v>
      </c>
      <c r="C6" s="13" t="n">
        <v>0</v>
      </c>
      <c r="D6" s="22" t="n">
        <v>0</v>
      </c>
      <c r="E6" s="13" t="n">
        <v>0</v>
      </c>
      <c r="F6" s="13" t="n">
        <v>0</v>
      </c>
      <c r="G6" s="13" t="n">
        <v>0</v>
      </c>
      <c r="H6" s="13" t="n">
        <v>0</v>
      </c>
    </row>
    <row r="7" customFormat="false" ht="15" hidden="false" customHeight="false" outlineLevel="0" collapsed="false">
      <c r="A7" s="16" t="n">
        <v>6</v>
      </c>
      <c r="B7" s="17" t="s">
        <v>55</v>
      </c>
      <c r="C7" s="9" t="n">
        <v>0</v>
      </c>
      <c r="D7" s="23" t="n">
        <v>0</v>
      </c>
      <c r="E7" s="9" t="n">
        <v>0</v>
      </c>
      <c r="F7" s="9" t="n">
        <v>0</v>
      </c>
      <c r="G7" s="9" t="n">
        <v>0</v>
      </c>
      <c r="H7" s="9" t="n">
        <v>0</v>
      </c>
    </row>
    <row r="8" customFormat="false" ht="15" hidden="false" customHeight="false" outlineLevel="0" collapsed="false">
      <c r="A8" s="15" t="n">
        <v>7</v>
      </c>
      <c r="B8" s="4" t="s">
        <v>56</v>
      </c>
      <c r="C8" s="13" t="n">
        <v>0</v>
      </c>
      <c r="D8" s="22" t="n">
        <v>0</v>
      </c>
      <c r="E8" s="13" t="n">
        <v>0</v>
      </c>
      <c r="F8" s="13" t="n">
        <v>0</v>
      </c>
      <c r="G8" s="13" t="n">
        <v>0</v>
      </c>
      <c r="H8" s="13" t="n">
        <v>0</v>
      </c>
    </row>
    <row r="9" customFormat="false" ht="15" hidden="false" customHeight="false" outlineLevel="0" collapsed="false">
      <c r="A9" s="16" t="n">
        <v>8</v>
      </c>
      <c r="B9" s="17" t="s">
        <v>57</v>
      </c>
      <c r="C9" s="9" t="n">
        <v>0</v>
      </c>
      <c r="D9" s="23" t="n">
        <v>0</v>
      </c>
      <c r="E9" s="9" t="n">
        <v>0</v>
      </c>
      <c r="F9" s="9" t="n">
        <v>0</v>
      </c>
      <c r="G9" s="9" t="n">
        <v>0</v>
      </c>
      <c r="H9" s="9" t="n">
        <v>0</v>
      </c>
    </row>
    <row r="10" customFormat="false" ht="15" hidden="false" customHeight="false" outlineLevel="0" collapsed="false">
      <c r="A10" s="15" t="n">
        <v>9</v>
      </c>
      <c r="B10" s="4" t="s">
        <v>58</v>
      </c>
      <c r="C10" s="13" t="n">
        <v>0</v>
      </c>
      <c r="D10" s="22" t="n">
        <v>0</v>
      </c>
      <c r="E10" s="13" t="n">
        <v>0</v>
      </c>
      <c r="F10" s="13" t="n">
        <v>0</v>
      </c>
      <c r="G10" s="13" t="n">
        <v>0</v>
      </c>
      <c r="H10" s="13" t="n">
        <v>0</v>
      </c>
    </row>
    <row r="11" customFormat="false" ht="15" hidden="false" customHeight="false" outlineLevel="0" collapsed="false">
      <c r="A11" s="16" t="n">
        <v>10</v>
      </c>
      <c r="B11" s="17" t="s">
        <v>59</v>
      </c>
      <c r="C11" s="9" t="n">
        <v>0</v>
      </c>
      <c r="D11" s="23" t="n">
        <v>0</v>
      </c>
      <c r="E11" s="9" t="n">
        <v>0</v>
      </c>
      <c r="F11" s="9" t="n">
        <v>0</v>
      </c>
      <c r="G11" s="9" t="n">
        <v>0</v>
      </c>
      <c r="H11" s="9" t="n">
        <v>0</v>
      </c>
    </row>
    <row r="12" customFormat="false" ht="15" hidden="false" customHeight="false" outlineLevel="0" collapsed="false">
      <c r="A12" s="15" t="n">
        <v>11</v>
      </c>
      <c r="B12" s="4" t="s">
        <v>60</v>
      </c>
      <c r="C12" s="13" t="n">
        <v>0</v>
      </c>
      <c r="D12" s="22" t="n">
        <v>0</v>
      </c>
      <c r="E12" s="13" t="n">
        <v>0</v>
      </c>
      <c r="F12" s="13" t="n">
        <v>0</v>
      </c>
      <c r="G12" s="13" t="n">
        <v>0</v>
      </c>
      <c r="H12" s="13" t="n">
        <v>0</v>
      </c>
    </row>
    <row r="13" customFormat="false" ht="15" hidden="false" customHeight="false" outlineLevel="0" collapsed="false">
      <c r="A13" s="16" t="n">
        <v>12</v>
      </c>
      <c r="B13" s="17" t="s">
        <v>61</v>
      </c>
      <c r="C13" s="9" t="n">
        <v>0</v>
      </c>
      <c r="D13" s="23" t="n">
        <v>0</v>
      </c>
      <c r="E13" s="9" t="n">
        <v>0</v>
      </c>
      <c r="F13" s="9" t="n">
        <v>0</v>
      </c>
      <c r="G13" s="9" t="n">
        <v>0</v>
      </c>
      <c r="H13" s="9" t="n">
        <v>0</v>
      </c>
    </row>
    <row r="14" customFormat="false" ht="15" hidden="false" customHeight="false" outlineLevel="0" collapsed="false">
      <c r="A14" s="15" t="n">
        <v>13</v>
      </c>
      <c r="B14" s="4" t="s">
        <v>62</v>
      </c>
      <c r="C14" s="13" t="n">
        <v>0</v>
      </c>
      <c r="D14" s="22" t="n">
        <v>0</v>
      </c>
      <c r="E14" s="13" t="n">
        <v>0</v>
      </c>
      <c r="F14" s="13" t="n">
        <v>0</v>
      </c>
      <c r="G14" s="13" t="n">
        <v>0</v>
      </c>
      <c r="H14" s="13" t="n">
        <v>0</v>
      </c>
    </row>
    <row r="15" customFormat="false" ht="15" hidden="false" customHeight="false" outlineLevel="0" collapsed="false">
      <c r="A15" s="16" t="n">
        <v>14</v>
      </c>
      <c r="B15" s="17" t="s">
        <v>63</v>
      </c>
      <c r="C15" s="9" t="n">
        <v>0</v>
      </c>
      <c r="D15" s="23" t="n">
        <v>0</v>
      </c>
      <c r="E15" s="9" t="n">
        <v>0</v>
      </c>
      <c r="F15" s="9" t="n">
        <v>0</v>
      </c>
      <c r="G15" s="9" t="n">
        <v>0</v>
      </c>
      <c r="H15" s="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8" min="3" style="0" width="16"/>
  </cols>
  <sheetData>
    <row r="1" customFormat="false" ht="24" hidden="false" customHeight="true" outlineLevel="0" collapsed="false">
      <c r="A1" s="24" t="s">
        <v>78</v>
      </c>
    </row>
    <row r="3" customFormat="false" ht="30" hidden="false" customHeight="true" outlineLevel="0" collapsed="false">
      <c r="A3" s="6" t="s">
        <v>79</v>
      </c>
      <c r="B3" s="6" t="s">
        <v>80</v>
      </c>
      <c r="C3" s="6" t="s">
        <v>81</v>
      </c>
      <c r="D3" s="6" t="s">
        <v>82</v>
      </c>
      <c r="E3" s="6" t="s">
        <v>83</v>
      </c>
      <c r="F3" s="6" t="s">
        <v>84</v>
      </c>
      <c r="G3" s="6" t="s">
        <v>85</v>
      </c>
      <c r="H3" s="6" t="s">
        <v>86</v>
      </c>
    </row>
    <row r="4" customFormat="false" ht="15" hidden="false" customHeight="false" outlineLevel="0" collapsed="false">
      <c r="A4" s="7" t="s">
        <v>87</v>
      </c>
      <c r="B4" s="16" t="s">
        <v>88</v>
      </c>
      <c r="C4" s="8" t="n">
        <v>30663</v>
      </c>
      <c r="D4" s="8" t="n">
        <v>26822</v>
      </c>
      <c r="E4" s="8" t="n">
        <v>15000</v>
      </c>
      <c r="F4" s="8" t="n">
        <v>14000</v>
      </c>
      <c r="G4" s="8" t="n">
        <v>3000</v>
      </c>
      <c r="H4" s="9" t="n">
        <v>0</v>
      </c>
    </row>
    <row r="5" customFormat="false" ht="15" hidden="false" customHeight="false" outlineLevel="0" collapsed="false">
      <c r="A5" s="11" t="s">
        <v>87</v>
      </c>
      <c r="B5" s="15" t="s">
        <v>89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</row>
    <row r="6" customFormat="false" ht="15" hidden="false" customHeight="false" outlineLevel="0" collapsed="false">
      <c r="A6" s="7" t="s">
        <v>87</v>
      </c>
      <c r="B6" s="16" t="s">
        <v>90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</row>
    <row r="7" customFormat="false" ht="15" hidden="false" customHeight="false" outlineLevel="0" collapsed="false">
      <c r="A7" s="11" t="s">
        <v>87</v>
      </c>
      <c r="B7" s="15" t="s">
        <v>91</v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</row>
    <row r="8" customFormat="false" ht="15" hidden="false" customHeight="false" outlineLevel="0" collapsed="false">
      <c r="A8" s="7" t="s">
        <v>87</v>
      </c>
      <c r="B8" s="16" t="s">
        <v>92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</row>
    <row r="9" customFormat="false" ht="15" hidden="false" customHeight="false" outlineLevel="0" collapsed="false">
      <c r="A9" s="11"/>
      <c r="B9" s="15"/>
      <c r="C9" s="13"/>
      <c r="D9" s="13"/>
      <c r="E9" s="13"/>
      <c r="F9" s="13"/>
      <c r="G9" s="13"/>
      <c r="H9" s="13"/>
    </row>
    <row r="10" customFormat="false" ht="15" hidden="false" customHeight="false" outlineLevel="0" collapsed="false">
      <c r="A10" s="7" t="s">
        <v>30</v>
      </c>
      <c r="B10" s="16" t="s">
        <v>88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</row>
    <row r="11" customFormat="false" ht="15" hidden="false" customHeight="false" outlineLevel="0" collapsed="false">
      <c r="A11" s="11" t="s">
        <v>30</v>
      </c>
      <c r="B11" s="15" t="s">
        <v>89</v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</row>
    <row r="12" customFormat="false" ht="15" hidden="false" customHeight="false" outlineLevel="0" collapsed="false">
      <c r="A12" s="7" t="s">
        <v>30</v>
      </c>
      <c r="B12" s="16" t="s">
        <v>90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</row>
    <row r="13" customFormat="false" ht="15" hidden="false" customHeight="false" outlineLevel="0" collapsed="false">
      <c r="A13" s="11" t="s">
        <v>30</v>
      </c>
      <c r="B13" s="15" t="s">
        <v>91</v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</row>
    <row r="14" customFormat="false" ht="15" hidden="false" customHeight="false" outlineLevel="0" collapsed="false">
      <c r="A14" s="7" t="s">
        <v>30</v>
      </c>
      <c r="B14" s="16" t="s">
        <v>92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</row>
    <row r="15" customFormat="false" ht="15" hidden="false" customHeight="false" outlineLevel="0" collapsed="false">
      <c r="A15" s="11"/>
      <c r="B15" s="15"/>
      <c r="C15" s="13"/>
      <c r="D15" s="13"/>
      <c r="E15" s="13"/>
      <c r="F15" s="13"/>
      <c r="G15" s="13"/>
      <c r="H15" s="13"/>
    </row>
    <row r="16" customFormat="false" ht="15" hidden="false" customHeight="false" outlineLevel="0" collapsed="false">
      <c r="A16" s="7" t="s">
        <v>31</v>
      </c>
      <c r="B16" s="16" t="s">
        <v>88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</row>
    <row r="17" customFormat="false" ht="15" hidden="false" customHeight="false" outlineLevel="0" collapsed="false">
      <c r="A17" s="11" t="s">
        <v>31</v>
      </c>
      <c r="B17" s="15" t="s">
        <v>89</v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</row>
    <row r="18" customFormat="false" ht="15" hidden="false" customHeight="false" outlineLevel="0" collapsed="false">
      <c r="A18" s="7" t="s">
        <v>31</v>
      </c>
      <c r="B18" s="16" t="s">
        <v>90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</row>
    <row r="19" customFormat="false" ht="15" hidden="false" customHeight="false" outlineLevel="0" collapsed="false">
      <c r="A19" s="11" t="s">
        <v>31</v>
      </c>
      <c r="B19" s="15" t="s">
        <v>91</v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</row>
    <row r="20" customFormat="false" ht="15" hidden="false" customHeight="false" outlineLevel="0" collapsed="false">
      <c r="A20" s="7" t="s">
        <v>31</v>
      </c>
      <c r="B20" s="16" t="s">
        <v>92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</row>
    <row r="25" customFormat="false" ht="15" hidden="false" customHeight="false" outlineLevel="0" collapsed="false">
      <c r="A25" s="25" t="s">
        <v>93</v>
      </c>
      <c r="B25" s="25"/>
      <c r="C25" s="25"/>
      <c r="D25" s="25"/>
      <c r="E25" s="25"/>
      <c r="F25" s="25"/>
      <c r="G25" s="25"/>
      <c r="H25" s="25"/>
      <c r="I25" s="25"/>
    </row>
  </sheetData>
  <mergeCells count="1">
    <mergeCell ref="A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50"/>
    <col collapsed="false" customWidth="true" hidden="false" outlineLevel="0" max="5" min="5" style="0" width="3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100</v>
      </c>
      <c r="H1" s="6" t="s">
        <v>101</v>
      </c>
      <c r="I1" s="6" t="s">
        <v>102</v>
      </c>
    </row>
    <row r="2" customFormat="false" ht="23.85" hidden="false" customHeight="false" outlineLevel="0" collapsed="false">
      <c r="A2" s="26" t="s">
        <v>103</v>
      </c>
      <c r="B2" s="26" t="s">
        <v>104</v>
      </c>
      <c r="C2" s="26" t="s">
        <v>105</v>
      </c>
      <c r="D2" s="26" t="s">
        <v>106</v>
      </c>
      <c r="E2" s="26" t="s">
        <v>107</v>
      </c>
      <c r="F2" s="26" t="n">
        <v>50000</v>
      </c>
      <c r="G2" s="26" t="s">
        <v>108</v>
      </c>
      <c r="H2" s="26" t="s">
        <v>109</v>
      </c>
      <c r="I2" s="26" t="s">
        <v>110</v>
      </c>
    </row>
    <row r="4" customFormat="false" ht="15" hidden="false" customHeight="false" outlineLevel="0" collapsed="false">
      <c r="A4" s="27"/>
      <c r="B4" s="27"/>
      <c r="C4" s="27"/>
      <c r="D4" s="27"/>
      <c r="E4" s="27"/>
      <c r="F4" s="27"/>
      <c r="G4" s="27"/>
      <c r="H4" s="27"/>
      <c r="I4" s="27"/>
    </row>
    <row r="6" customFormat="false" ht="15" hidden="false" customHeight="false" outlineLevel="0" collapsed="false">
      <c r="A6" s="27"/>
      <c r="B6" s="27"/>
      <c r="C6" s="27"/>
      <c r="D6" s="27"/>
      <c r="E6" s="27"/>
      <c r="F6" s="27"/>
      <c r="G6" s="27"/>
      <c r="H6" s="27"/>
      <c r="I6" s="27"/>
    </row>
    <row r="8" customFormat="false" ht="15" hidden="false" customHeight="false" outlineLevel="0" collapsed="false">
      <c r="A8" s="27"/>
      <c r="B8" s="27"/>
      <c r="C8" s="27"/>
      <c r="D8" s="27"/>
      <c r="E8" s="27"/>
      <c r="F8" s="27"/>
      <c r="G8" s="27"/>
      <c r="H8" s="27"/>
      <c r="I8" s="27"/>
    </row>
    <row r="10" customFormat="false" ht="15" hidden="false" customHeight="false" outlineLevel="0" collapsed="false">
      <c r="A10" s="27"/>
      <c r="B10" s="27"/>
      <c r="C10" s="27"/>
      <c r="D10" s="27"/>
      <c r="E10" s="27"/>
      <c r="F10" s="27"/>
      <c r="G10" s="27"/>
      <c r="H10" s="27"/>
      <c r="I10" s="27"/>
    </row>
    <row r="12" customFormat="false" ht="15" hidden="false" customHeight="false" outlineLevel="0" collapsed="false">
      <c r="A12" s="27"/>
      <c r="B12" s="27"/>
      <c r="C12" s="27"/>
      <c r="D12" s="27"/>
      <c r="E12" s="27"/>
      <c r="F12" s="27"/>
      <c r="G12" s="27"/>
      <c r="H12" s="27"/>
      <c r="I12" s="27"/>
    </row>
    <row r="14" customFormat="false" ht="15" hidden="false" customHeight="false" outlineLevel="0" collapsed="false">
      <c r="A14" s="27"/>
      <c r="B14" s="27"/>
      <c r="C14" s="27"/>
      <c r="D14" s="27"/>
      <c r="E14" s="27"/>
      <c r="F14" s="27"/>
      <c r="G14" s="27"/>
      <c r="H14" s="27"/>
      <c r="I14" s="27"/>
    </row>
    <row r="16" customFormat="false" ht="15" hidden="false" customHeight="false" outlineLevel="0" collapsed="false">
      <c r="A16" s="27"/>
      <c r="B16" s="27"/>
      <c r="C16" s="27"/>
      <c r="D16" s="27"/>
      <c r="E16" s="27"/>
      <c r="F16" s="27"/>
      <c r="G16" s="27"/>
      <c r="H16" s="27"/>
      <c r="I16" s="27"/>
    </row>
    <row r="18" customFormat="false" ht="15" hidden="false" customHeight="false" outlineLevel="0" collapsed="false">
      <c r="A18" s="27"/>
      <c r="B18" s="27"/>
      <c r="C18" s="27"/>
      <c r="D18" s="27"/>
      <c r="E18" s="27"/>
      <c r="F18" s="27"/>
      <c r="G18" s="27"/>
      <c r="H18" s="27"/>
      <c r="I18" s="27"/>
    </row>
    <row r="20" customFormat="false" ht="15" hidden="false" customHeight="false" outlineLevel="0" collapsed="false">
      <c r="A20" s="27"/>
      <c r="B20" s="27"/>
      <c r="C20" s="27"/>
      <c r="D20" s="27"/>
      <c r="E20" s="27"/>
      <c r="F20" s="27"/>
      <c r="G20" s="27"/>
      <c r="H20" s="27"/>
      <c r="I20" s="27"/>
    </row>
    <row r="22" customFormat="false" ht="1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I22" s="27"/>
    </row>
    <row r="24" customFormat="false" ht="15" hidden="false" customHeight="false" outlineLevel="0" collapsed="false">
      <c r="A24" s="27"/>
      <c r="B24" s="27"/>
      <c r="C24" s="27"/>
      <c r="D24" s="27"/>
      <c r="E24" s="27"/>
      <c r="F24" s="27"/>
      <c r="G24" s="27"/>
      <c r="H24" s="27"/>
      <c r="I24" s="27"/>
    </row>
    <row r="26" customFormat="false" ht="15" hidden="false" customHeight="false" outlineLevel="0" collapsed="false">
      <c r="A26" s="27"/>
      <c r="B26" s="27"/>
      <c r="C26" s="27"/>
      <c r="D26" s="27"/>
      <c r="E26" s="27"/>
      <c r="F26" s="27"/>
      <c r="G26" s="27"/>
      <c r="H26" s="27"/>
      <c r="I26" s="27"/>
    </row>
    <row r="28" customFormat="false" ht="15" hidden="false" customHeight="false" outlineLevel="0" collapsed="false">
      <c r="A28" s="27"/>
      <c r="B28" s="27"/>
      <c r="C28" s="27"/>
      <c r="D28" s="27"/>
      <c r="E28" s="27"/>
      <c r="F28" s="27"/>
      <c r="G28" s="27"/>
      <c r="H28" s="27"/>
      <c r="I28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7" min="6" style="0" width="14"/>
    <col collapsed="false" customWidth="true" hidden="false" outlineLevel="0" max="8" min="8" style="0" width="28"/>
    <col collapsed="false" customWidth="true" hidden="false" outlineLevel="0" max="9" min="9" style="0" width="26"/>
  </cols>
  <sheetData>
    <row r="1" customFormat="false" ht="27.75" hidden="false" customHeight="true" outlineLevel="0" collapsed="false">
      <c r="A1" s="6" t="s">
        <v>94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6" t="s">
        <v>117</v>
      </c>
      <c r="I1" s="6" t="s">
        <v>102</v>
      </c>
    </row>
    <row r="2" customFormat="false" ht="23.85" hidden="false" customHeight="false" outlineLevel="0" collapsed="false">
      <c r="A2" s="26" t="s">
        <v>51</v>
      </c>
      <c r="B2" s="26" t="s">
        <v>118</v>
      </c>
      <c r="C2" s="26" t="s">
        <v>119</v>
      </c>
      <c r="D2" s="26" t="s">
        <v>120</v>
      </c>
      <c r="E2" s="26" t="s">
        <v>121</v>
      </c>
      <c r="F2" s="26" t="s">
        <v>122</v>
      </c>
      <c r="G2" s="26" t="s">
        <v>123</v>
      </c>
      <c r="H2" s="26" t="s">
        <v>124</v>
      </c>
      <c r="I2" s="26" t="s">
        <v>125</v>
      </c>
    </row>
    <row r="4" customFormat="false" ht="15" hidden="false" customHeight="false" outlineLevel="0" collapsed="false">
      <c r="A4" s="27"/>
      <c r="B4" s="27"/>
      <c r="C4" s="27"/>
      <c r="D4" s="27"/>
      <c r="E4" s="27"/>
      <c r="F4" s="27"/>
      <c r="G4" s="27"/>
      <c r="H4" s="27"/>
      <c r="I4" s="27"/>
    </row>
    <row r="6" customFormat="false" ht="15" hidden="false" customHeight="false" outlineLevel="0" collapsed="false">
      <c r="A6" s="27"/>
      <c r="B6" s="27"/>
      <c r="C6" s="27"/>
      <c r="D6" s="27"/>
      <c r="E6" s="27"/>
      <c r="F6" s="27"/>
      <c r="G6" s="27"/>
      <c r="H6" s="27"/>
      <c r="I6" s="27"/>
    </row>
    <row r="8" customFormat="false" ht="15" hidden="false" customHeight="false" outlineLevel="0" collapsed="false">
      <c r="A8" s="27"/>
      <c r="B8" s="27"/>
      <c r="C8" s="27"/>
      <c r="D8" s="27"/>
      <c r="E8" s="27"/>
      <c r="F8" s="27"/>
      <c r="G8" s="27"/>
      <c r="H8" s="27"/>
      <c r="I8" s="27"/>
    </row>
    <row r="10" customFormat="false" ht="15" hidden="false" customHeight="false" outlineLevel="0" collapsed="false">
      <c r="A10" s="27"/>
      <c r="B10" s="27"/>
      <c r="C10" s="27"/>
      <c r="D10" s="27"/>
      <c r="E10" s="27"/>
      <c r="F10" s="27"/>
      <c r="G10" s="27"/>
      <c r="H10" s="27"/>
      <c r="I10" s="27"/>
    </row>
    <row r="12" customFormat="false" ht="15" hidden="false" customHeight="false" outlineLevel="0" collapsed="false">
      <c r="A12" s="27"/>
      <c r="B12" s="27"/>
      <c r="C12" s="27"/>
      <c r="D12" s="27"/>
      <c r="E12" s="27"/>
      <c r="F12" s="27"/>
      <c r="G12" s="27"/>
      <c r="H12" s="27"/>
      <c r="I12" s="27"/>
    </row>
    <row r="14" customFormat="false" ht="15" hidden="false" customHeight="false" outlineLevel="0" collapsed="false">
      <c r="A14" s="27"/>
      <c r="B14" s="27"/>
      <c r="C14" s="27"/>
      <c r="D14" s="27"/>
      <c r="E14" s="27"/>
      <c r="F14" s="27"/>
      <c r="G14" s="27"/>
      <c r="H14" s="27"/>
      <c r="I14" s="27"/>
    </row>
    <row r="16" customFormat="false" ht="15" hidden="false" customHeight="false" outlineLevel="0" collapsed="false">
      <c r="A16" s="27"/>
      <c r="B16" s="27"/>
      <c r="C16" s="27"/>
      <c r="D16" s="27"/>
      <c r="E16" s="27"/>
      <c r="F16" s="27"/>
      <c r="G16" s="27"/>
      <c r="H16" s="27"/>
      <c r="I16" s="27"/>
    </row>
    <row r="18" customFormat="false" ht="15" hidden="false" customHeight="false" outlineLevel="0" collapsed="false">
      <c r="A18" s="27"/>
      <c r="B18" s="27"/>
      <c r="C18" s="27"/>
      <c r="D18" s="27"/>
      <c r="E18" s="27"/>
      <c r="F18" s="27"/>
      <c r="G18" s="27"/>
      <c r="H18" s="27"/>
      <c r="I18" s="27"/>
    </row>
    <row r="20" customFormat="false" ht="15" hidden="false" customHeight="false" outlineLevel="0" collapsed="false">
      <c r="A20" s="27"/>
      <c r="B20" s="27"/>
      <c r="C20" s="27"/>
      <c r="D20" s="27"/>
      <c r="E20" s="27"/>
      <c r="F20" s="27"/>
      <c r="G20" s="27"/>
      <c r="H20" s="27"/>
      <c r="I20" s="27"/>
    </row>
    <row r="22" customFormat="false" ht="1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I22" s="27"/>
    </row>
    <row r="24" customFormat="false" ht="15" hidden="false" customHeight="false" outlineLevel="0" collapsed="false">
      <c r="A24" s="27"/>
      <c r="B24" s="27"/>
      <c r="C24" s="27"/>
      <c r="D24" s="27"/>
      <c r="E24" s="27"/>
      <c r="F24" s="27"/>
      <c r="G24" s="27"/>
      <c r="H24" s="27"/>
      <c r="I24" s="27"/>
    </row>
    <row r="26" customFormat="false" ht="15" hidden="false" customHeight="false" outlineLevel="0" collapsed="false">
      <c r="A26" s="27"/>
      <c r="B26" s="27"/>
      <c r="C26" s="27"/>
      <c r="D26" s="27"/>
      <c r="E26" s="27"/>
      <c r="F26" s="27"/>
      <c r="G26" s="27"/>
      <c r="H26" s="27"/>
      <c r="I26" s="27"/>
    </row>
    <row r="28" customFormat="false" ht="15" hidden="false" customHeight="false" outlineLevel="0" collapsed="false">
      <c r="A28" s="27"/>
      <c r="B28" s="27"/>
      <c r="C28" s="27"/>
      <c r="D28" s="27"/>
      <c r="E28" s="27"/>
      <c r="F28" s="27"/>
      <c r="G28" s="27"/>
      <c r="H28" s="27"/>
      <c r="I28" s="27"/>
    </row>
    <row r="31" customFormat="false" ht="15" hidden="false" customHeight="false" outlineLevel="0" collapsed="false">
      <c r="A31" s="25" t="s">
        <v>126</v>
      </c>
      <c r="B31" s="25"/>
      <c r="C31" s="25"/>
      <c r="D31" s="25"/>
      <c r="E31" s="25"/>
      <c r="F31" s="25"/>
      <c r="G31" s="25"/>
      <c r="H31" s="25"/>
      <c r="I31" s="25"/>
    </row>
  </sheetData>
  <mergeCells count="1">
    <mergeCell ref="A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2026-06-05T04:15:02Z</dcterms:created>
  <dc:creator>openpyxl</dc:creator>
  <dc:description/>
  <dc:language>en-US</dc:language>
  <cp:lastModifiedBy/>
  <dcterms:modified xsi:type="dcterms:W3CDTF">2026-06-05T04:15:03Z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